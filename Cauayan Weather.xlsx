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rl\OneDrive\Documents\"/>
    </mc:Choice>
  </mc:AlternateContent>
  <bookViews>
    <workbookView xWindow="0" yWindow="0" windowWidth="38400" windowHeight="177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4" i="1" l="1"/>
  <c r="K14" i="1"/>
  <c r="I14" i="1"/>
  <c r="G14" i="1"/>
  <c r="E14" i="1"/>
  <c r="C14" i="1"/>
  <c r="M13" i="1" l="1"/>
  <c r="K13" i="1"/>
  <c r="I13" i="1"/>
  <c r="G13" i="1"/>
  <c r="E13" i="1"/>
  <c r="C13" i="1"/>
  <c r="M12" i="1"/>
  <c r="K12" i="1"/>
  <c r="I12" i="1"/>
  <c r="G12" i="1"/>
  <c r="E12" i="1"/>
  <c r="C12" i="1"/>
  <c r="M11" i="1"/>
  <c r="K11" i="1"/>
  <c r="I11" i="1"/>
  <c r="G11" i="1" l="1"/>
  <c r="E11" i="1"/>
  <c r="C11" i="1"/>
  <c r="M10" i="1"/>
  <c r="K10" i="1"/>
  <c r="I10" i="1"/>
  <c r="G10" i="1"/>
  <c r="E10" i="1"/>
  <c r="C10" i="1"/>
  <c r="M9" i="1" l="1"/>
  <c r="K9" i="1"/>
  <c r="I9" i="1"/>
  <c r="G9" i="1"/>
  <c r="E9" i="1"/>
  <c r="C9" i="1"/>
  <c r="M15" i="1" l="1"/>
  <c r="L15" i="1"/>
  <c r="K15" i="1"/>
  <c r="J15" i="1"/>
  <c r="I15" i="1"/>
  <c r="H15" i="1"/>
  <c r="G15" i="1"/>
  <c r="F15" i="1"/>
  <c r="E15" i="1"/>
  <c r="D15" i="1"/>
  <c r="C15" i="1"/>
  <c r="B15" i="1"/>
  <c r="M8" i="1"/>
  <c r="K8" i="1"/>
  <c r="I8" i="1"/>
  <c r="G8" i="1"/>
  <c r="E8" i="1"/>
  <c r="C8" i="1"/>
  <c r="M7" i="1"/>
  <c r="K7" i="1"/>
  <c r="I6" i="1"/>
  <c r="I7" i="1"/>
  <c r="G7" i="1"/>
  <c r="E7" i="1"/>
  <c r="C7" i="1"/>
  <c r="M6" i="1" l="1"/>
  <c r="K6" i="1"/>
  <c r="G6" i="1"/>
  <c r="E6" i="1"/>
  <c r="C6" i="1"/>
  <c r="M5" i="1"/>
  <c r="K5" i="1"/>
  <c r="I5" i="1" l="1"/>
  <c r="G5" i="1"/>
  <c r="E5" i="1"/>
  <c r="C5" i="1"/>
</calcChain>
</file>

<file path=xl/sharedStrings.xml><?xml version="1.0" encoding="utf-8"?>
<sst xmlns="http://schemas.openxmlformats.org/spreadsheetml/2006/main" count="118" uniqueCount="69">
  <si>
    <t>CAUAYAN CITY WEATHER DATA</t>
  </si>
  <si>
    <t>Sept</t>
  </si>
  <si>
    <t>Oct</t>
  </si>
  <si>
    <t>Nov</t>
  </si>
  <si>
    <t>Dec</t>
  </si>
  <si>
    <t>Aug</t>
  </si>
  <si>
    <t>Jul</t>
  </si>
  <si>
    <t>Monthly Rainfall (mm)</t>
  </si>
  <si>
    <t>Rain Days %</t>
  </si>
  <si>
    <t>Typhoons</t>
  </si>
  <si>
    <t>Name</t>
  </si>
  <si>
    <t>Signal</t>
  </si>
  <si>
    <t>Nida (Carina)</t>
  </si>
  <si>
    <t>Sarika (Karen)</t>
  </si>
  <si>
    <t>Haima (Lawin)</t>
  </si>
  <si>
    <t>Nock-ten (Nina)</t>
  </si>
  <si>
    <t>Pakhar (Jolina)</t>
  </si>
  <si>
    <t>Khanun (Odette)</t>
  </si>
  <si>
    <t>Mangkhut (Ompong)</t>
  </si>
  <si>
    <t>Yutu (Rosita)</t>
  </si>
  <si>
    <t>Danas (Falcon)</t>
  </si>
  <si>
    <t>Bailu (Ineng)</t>
  </si>
  <si>
    <t>Podul (Jenny)</t>
  </si>
  <si>
    <t>Kalmaegi (Ramon)</t>
  </si>
  <si>
    <t>Kammuri (Tisoy)</t>
  </si>
  <si>
    <t>Average</t>
  </si>
  <si>
    <t>Total</t>
  </si>
  <si>
    <t>Saudel (Pepito)</t>
  </si>
  <si>
    <t>Molave (Quinta)</t>
  </si>
  <si>
    <t>Goni (Rolly)</t>
  </si>
  <si>
    <t>Vamco (Ulysses)</t>
  </si>
  <si>
    <t>Conson (Jolina)</t>
  </si>
  <si>
    <t>Chanthu (Kiko)</t>
  </si>
  <si>
    <t>Kompasu (Maring)</t>
  </si>
  <si>
    <t>Notes</t>
  </si>
  <si>
    <t>References</t>
  </si>
  <si>
    <t>Monthly Rainfall Metric: weatherandclimate.com</t>
  </si>
  <si>
    <t>Rain Days % Metric: timeanddate.com</t>
  </si>
  <si>
    <t>Typhoons Metric: Multiple FB News Outlet Sources</t>
  </si>
  <si>
    <t>Ma-on (Florita)</t>
  </si>
  <si>
    <t>Noru (Karding)</t>
  </si>
  <si>
    <t>TD Maymay</t>
  </si>
  <si>
    <t>Nesat (Neneng)</t>
  </si>
  <si>
    <t>Nalgae (Paeng)</t>
  </si>
  <si>
    <t>Doksuri (Egay)</t>
  </si>
  <si>
    <t>Saola (Goring)</t>
  </si>
  <si>
    <t>Koinu (Jenny)</t>
  </si>
  <si>
    <t>Gaemi (Carina)</t>
  </si>
  <si>
    <t>Yagi (Enteng)</t>
  </si>
  <si>
    <t>Soulik (Gener)</t>
  </si>
  <si>
    <t>Krathon (Julian)</t>
  </si>
  <si>
    <t>Trami (Kristine)</t>
  </si>
  <si>
    <t>Kong-rey (Leon)</t>
  </si>
  <si>
    <t>Yinxing (Marce)</t>
  </si>
  <si>
    <t>Man-yi (Pepito)</t>
  </si>
  <si>
    <t>Toraji (Nika)</t>
  </si>
  <si>
    <t>Usagi (Ofel)</t>
  </si>
  <si>
    <t>The following months have missing parts of the data (Rain Days % Metric):</t>
  </si>
  <si>
    <t>Danas (Bising)</t>
  </si>
  <si>
    <t>Wipha (Crising)</t>
  </si>
  <si>
    <t>Co-May (Emong)</t>
  </si>
  <si>
    <t>Kajiki (Isang)</t>
  </si>
  <si>
    <t>Mitag (Mirasol)</t>
  </si>
  <si>
    <t>Ragasa (Nando)</t>
  </si>
  <si>
    <t>Bualoi (Opong)</t>
  </si>
  <si>
    <t>Matmo (Paolo)</t>
  </si>
  <si>
    <t>Fengshen (Ramil)</t>
  </si>
  <si>
    <t>Kalmaegi (Tino)</t>
  </si>
  <si>
    <t>Fung-wong (Uwan)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</si>
</sst>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/>
      <top/>
      <bottom/>
      <diagonal/>
    </border>
    <border>
      <left/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1" fillId="5" borderId="0" applyNumberFormat="0" applyBorder="0" applyAlignment="0" applyProtection="0"/>
    <xf numFmtId="0" fontId="1" fillId="4" borderId="5" applyNumberFormat="0" applyFont="0" applyAlignment="0" applyProtection="0"/>
  </cellStyleXfs>
  <cellXfs count="29">
    <xf numFmtId="0" fontId="0" fillId="0" borderId="0" xfId="0"/>
    <xf numFmtId="0" fontId="6" fillId="0" borderId="0" xfId="0" applyFont="1"/>
    <xf numFmtId="0" fontId="4" fillId="0" borderId="2" xfId="4"/>
    <xf numFmtId="0" fontId="0" fillId="0" borderId="0" xfId="0" applyAlignment="1">
      <alignment wrapText="1"/>
    </xf>
    <xf numFmtId="10" fontId="0" fillId="0" borderId="0" xfId="1" applyNumberFormat="1" applyFont="1"/>
    <xf numFmtId="0" fontId="7" fillId="0" borderId="0" xfId="0" applyFont="1" applyAlignment="1">
      <alignment horizontal="center" vertical="center"/>
    </xf>
    <xf numFmtId="0" fontId="0" fillId="0" borderId="0" xfId="0" applyFont="1" applyAlignment="1">
      <alignment wrapText="1"/>
    </xf>
    <xf numFmtId="0" fontId="0" fillId="6" borderId="0" xfId="0" applyFill="1"/>
    <xf numFmtId="0" fontId="7" fillId="6" borderId="0" xfId="0" applyFont="1" applyFill="1" applyAlignment="1">
      <alignment horizontal="center" vertical="center"/>
    </xf>
    <xf numFmtId="10" fontId="0" fillId="0" borderId="0" xfId="1" applyNumberFormat="1" applyFont="1" applyAlignment="1"/>
    <xf numFmtId="0" fontId="1" fillId="5" borderId="0" xfId="6" applyAlignment="1">
      <alignment horizontal="center" vertical="center" wrapText="1"/>
    </xf>
    <xf numFmtId="0" fontId="0" fillId="5" borderId="0" xfId="6" applyFont="1" applyAlignment="1">
      <alignment horizontal="center" vertical="center" wrapText="1"/>
    </xf>
    <xf numFmtId="0" fontId="1" fillId="5" borderId="0" xfId="6" applyAlignment="1">
      <alignment horizontal="center"/>
    </xf>
    <xf numFmtId="0" fontId="0" fillId="5" borderId="0" xfId="6" applyFont="1" applyAlignment="1">
      <alignment horizontal="center"/>
    </xf>
    <xf numFmtId="0" fontId="0" fillId="6" borderId="0" xfId="0" applyFill="1" applyAlignment="1">
      <alignment wrapText="1"/>
    </xf>
    <xf numFmtId="0" fontId="8" fillId="0" borderId="0" xfId="0" applyFont="1" applyAlignment="1">
      <alignment wrapText="1"/>
    </xf>
    <xf numFmtId="0" fontId="4" fillId="0" borderId="2" xfId="4" applyAlignment="1">
      <alignment horizontal="right"/>
    </xf>
    <xf numFmtId="10" fontId="0" fillId="0" borderId="0" xfId="0" applyNumberFormat="1"/>
    <xf numFmtId="17" fontId="0" fillId="0" borderId="0" xfId="0" applyNumberFormat="1"/>
    <xf numFmtId="0" fontId="7" fillId="0" borderId="0" xfId="1" applyNumberFormat="1" applyFont="1" applyAlignment="1">
      <alignment horizontal="center" vertical="center"/>
    </xf>
    <xf numFmtId="0" fontId="2" fillId="3" borderId="0" xfId="2" applyFill="1" applyAlignment="1">
      <alignment horizontal="center"/>
    </xf>
    <xf numFmtId="0" fontId="5" fillId="4" borderId="3" xfId="5" applyFill="1" applyBorder="1" applyAlignment="1">
      <alignment horizontal="center"/>
    </xf>
    <xf numFmtId="0" fontId="5" fillId="4" borderId="4" xfId="5" applyFill="1" applyBorder="1" applyAlignment="1">
      <alignment horizontal="center"/>
    </xf>
    <xf numFmtId="0" fontId="5" fillId="4" borderId="0" xfId="5" applyFill="1" applyBorder="1" applyAlignment="1">
      <alignment horizontal="center"/>
    </xf>
    <xf numFmtId="0" fontId="3" fillId="2" borderId="0" xfId="3" applyFill="1" applyBorder="1" applyAlignment="1">
      <alignment horizontal="center"/>
    </xf>
    <xf numFmtId="0" fontId="0" fillId="4" borderId="3" xfId="7" applyFont="1" applyBorder="1" applyAlignment="1">
      <alignment horizontal="center"/>
    </xf>
    <xf numFmtId="0" fontId="0" fillId="4" borderId="0" xfId="7" applyFont="1" applyBorder="1" applyAlignment="1">
      <alignment horizontal="center"/>
    </xf>
    <xf numFmtId="0" fontId="4" fillId="0" borderId="0" xfId="4" applyBorder="1" applyAlignment="1"/>
    <xf numFmtId="0" fontId="8" fillId="0" borderId="0" xfId="0" applyFont="1" applyFill="1" applyAlignment="1">
      <alignment wrapText="1"/>
    </xf>
  </cellXfs>
  <cellStyles count="8">
    <cellStyle name="40% - Accent5" xfId="6" builtinId="47"/>
    <cellStyle name="Heading 1" xfId="3" builtinId="16"/>
    <cellStyle name="Heading 2" xfId="4" builtinId="17"/>
    <cellStyle name="Heading 4" xfId="5" builtinId="19"/>
    <cellStyle name="Normal" xfId="0" builtinId="0"/>
    <cellStyle name="Note" xfId="7" builtinId="10"/>
    <cellStyle name="Percent" xfId="1" builtinId="5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1"/>
  <sheetViews>
    <sheetView tabSelected="1" zoomScaleNormal="100" workbookViewId="0">
      <selection activeCell="K46" sqref="K46"/>
    </sheetView>
  </sheetViews>
  <sheetFormatPr defaultRowHeight="15" x14ac:dyDescent="0.25"/>
  <sheetData>
    <row r="1" spans="1:33" ht="15.75" x14ac:dyDescent="0.25">
      <c r="A1" s="1"/>
    </row>
    <row r="2" spans="1:33" ht="23.25" x14ac:dyDescent="0.35">
      <c r="B2" s="20" t="s">
        <v>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33" ht="15.75" customHeight="1" x14ac:dyDescent="0.25">
      <c r="B3" s="21" t="s">
        <v>6</v>
      </c>
      <c r="C3" s="22"/>
      <c r="D3" s="21" t="s">
        <v>5</v>
      </c>
      <c r="E3" s="22"/>
      <c r="F3" s="21" t="s">
        <v>1</v>
      </c>
      <c r="G3" s="22"/>
      <c r="H3" s="21" t="s">
        <v>2</v>
      </c>
      <c r="I3" s="22"/>
      <c r="J3" s="21" t="s">
        <v>3</v>
      </c>
      <c r="K3" s="22"/>
      <c r="L3" s="21" t="s">
        <v>4</v>
      </c>
      <c r="M3" s="23"/>
    </row>
    <row r="4" spans="1:33" ht="46.5" customHeight="1" x14ac:dyDescent="0.25">
      <c r="B4" s="11" t="s">
        <v>7</v>
      </c>
      <c r="C4" s="10" t="s">
        <v>8</v>
      </c>
      <c r="D4" s="10" t="s">
        <v>7</v>
      </c>
      <c r="E4" s="10" t="s">
        <v>8</v>
      </c>
      <c r="F4" s="10" t="s">
        <v>7</v>
      </c>
      <c r="G4" s="10" t="s">
        <v>8</v>
      </c>
      <c r="H4" s="10" t="s">
        <v>7</v>
      </c>
      <c r="I4" s="10" t="s">
        <v>8</v>
      </c>
      <c r="J4" s="10" t="s">
        <v>7</v>
      </c>
      <c r="K4" s="10" t="s">
        <v>8</v>
      </c>
      <c r="L4" s="10" t="s">
        <v>7</v>
      </c>
      <c r="M4" s="10" t="s">
        <v>8</v>
      </c>
    </row>
    <row r="5" spans="1:33" ht="18" thickBot="1" x14ac:dyDescent="0.35">
      <c r="A5" s="2">
        <v>2016</v>
      </c>
      <c r="B5">
        <v>260.68</v>
      </c>
      <c r="C5" s="4">
        <f>8/31</f>
        <v>0.25806451612903225</v>
      </c>
      <c r="D5">
        <v>245.14</v>
      </c>
      <c r="E5" s="4">
        <f>8/31</f>
        <v>0.25806451612903225</v>
      </c>
      <c r="F5">
        <v>187.84</v>
      </c>
      <c r="G5" s="4">
        <f>7/30</f>
        <v>0.23333333333333334</v>
      </c>
      <c r="H5">
        <v>322.82</v>
      </c>
      <c r="I5" s="4">
        <f>8/31</f>
        <v>0.25806451612903225</v>
      </c>
      <c r="J5">
        <v>83.06</v>
      </c>
      <c r="K5" s="4">
        <f>10/30</f>
        <v>0.33333333333333331</v>
      </c>
      <c r="L5">
        <v>261.48</v>
      </c>
      <c r="M5" s="4">
        <f>15/31</f>
        <v>0.4838709677419355</v>
      </c>
    </row>
    <row r="6" spans="1:33" ht="18.75" thickTop="1" thickBot="1" x14ac:dyDescent="0.35">
      <c r="A6" s="2">
        <v>2017</v>
      </c>
      <c r="B6">
        <v>185.62</v>
      </c>
      <c r="C6" s="4">
        <f>11/31</f>
        <v>0.35483870967741937</v>
      </c>
      <c r="D6">
        <v>342.44</v>
      </c>
      <c r="E6" s="4">
        <f>15/31</f>
        <v>0.4838709677419355</v>
      </c>
      <c r="F6">
        <v>218.28</v>
      </c>
      <c r="G6" s="4">
        <f>6/30</f>
        <v>0.2</v>
      </c>
      <c r="H6">
        <v>234.96</v>
      </c>
      <c r="I6" s="9">
        <f>13/31</f>
        <v>0.41935483870967744</v>
      </c>
      <c r="J6">
        <v>214.28</v>
      </c>
      <c r="K6" s="4">
        <f>13/30</f>
        <v>0.43333333333333335</v>
      </c>
      <c r="L6">
        <v>184.98</v>
      </c>
      <c r="M6" s="4">
        <f>7/31</f>
        <v>0.22580645161290322</v>
      </c>
    </row>
    <row r="7" spans="1:33" ht="18.75" thickTop="1" thickBot="1" x14ac:dyDescent="0.35">
      <c r="A7" s="2">
        <v>2018</v>
      </c>
      <c r="B7">
        <v>267.42</v>
      </c>
      <c r="C7" s="4">
        <f>14/31</f>
        <v>0.45161290322580644</v>
      </c>
      <c r="D7">
        <v>226.77</v>
      </c>
      <c r="E7" s="4">
        <f>13/31</f>
        <v>0.41935483870967744</v>
      </c>
      <c r="F7">
        <v>304.64999999999998</v>
      </c>
      <c r="G7" s="4">
        <f>8/30</f>
        <v>0.26666666666666666</v>
      </c>
      <c r="H7">
        <v>247.28</v>
      </c>
      <c r="I7" s="4">
        <f>8/31</f>
        <v>0.25806451612903225</v>
      </c>
      <c r="J7">
        <v>40.76</v>
      </c>
      <c r="K7" s="4">
        <f>3/30</f>
        <v>0.1</v>
      </c>
      <c r="L7">
        <v>157.27000000000001</v>
      </c>
      <c r="M7" s="4">
        <f>14/31</f>
        <v>0.45161290322580644</v>
      </c>
    </row>
    <row r="8" spans="1:33" ht="18.75" thickTop="1" thickBot="1" x14ac:dyDescent="0.35">
      <c r="A8" s="2">
        <v>2019</v>
      </c>
      <c r="B8">
        <v>685.43</v>
      </c>
      <c r="C8" s="4">
        <f>12/31</f>
        <v>0.38709677419354838</v>
      </c>
      <c r="D8">
        <v>484.96</v>
      </c>
      <c r="E8" s="4">
        <f>11/31</f>
        <v>0.35483870967741937</v>
      </c>
      <c r="F8">
        <v>364.67</v>
      </c>
      <c r="G8" s="4">
        <f>11/30</f>
        <v>0.36666666666666664</v>
      </c>
      <c r="H8">
        <v>326.24</v>
      </c>
      <c r="I8" s="4">
        <f>7/31</f>
        <v>0.22580645161290322</v>
      </c>
      <c r="J8">
        <v>1087.51</v>
      </c>
      <c r="K8" s="4">
        <f>21/30</f>
        <v>0.7</v>
      </c>
      <c r="L8">
        <v>338.63</v>
      </c>
      <c r="M8" s="4">
        <f>8/31</f>
        <v>0.25806451612903225</v>
      </c>
    </row>
    <row r="9" spans="1:33" ht="18.75" thickTop="1" thickBot="1" x14ac:dyDescent="0.35">
      <c r="A9" s="2">
        <v>2020</v>
      </c>
      <c r="B9">
        <v>354.55</v>
      </c>
      <c r="C9" s="4">
        <f>10/31</f>
        <v>0.32258064516129031</v>
      </c>
      <c r="D9">
        <v>376.84</v>
      </c>
      <c r="E9" s="4">
        <f>11/31</f>
        <v>0.35483870967741937</v>
      </c>
      <c r="F9">
        <v>457.91</v>
      </c>
      <c r="G9" s="4">
        <f>10/30</f>
        <v>0.33333333333333331</v>
      </c>
      <c r="H9">
        <v>721.4</v>
      </c>
      <c r="I9" s="4">
        <f>20/31</f>
        <v>0.64516129032258063</v>
      </c>
      <c r="J9">
        <v>563.82000000000005</v>
      </c>
      <c r="K9" s="4">
        <f>14/30</f>
        <v>0.46666666666666667</v>
      </c>
      <c r="L9">
        <v>1350.16</v>
      </c>
      <c r="M9" s="4">
        <f>17/31</f>
        <v>0.54838709677419351</v>
      </c>
    </row>
    <row r="10" spans="1:33" ht="18.75" thickTop="1" thickBot="1" x14ac:dyDescent="0.35">
      <c r="A10" s="2">
        <v>2021</v>
      </c>
      <c r="B10" s="7"/>
      <c r="C10" s="4">
        <f>9/31</f>
        <v>0.29032258064516131</v>
      </c>
      <c r="D10" s="7"/>
      <c r="E10" s="4">
        <f>7/27</f>
        <v>0.25925925925925924</v>
      </c>
      <c r="F10" s="7"/>
      <c r="G10" s="4">
        <f>4/30</f>
        <v>0.13333333333333333</v>
      </c>
      <c r="H10" s="7"/>
      <c r="I10" s="4">
        <f>9/31</f>
        <v>0.29032258064516131</v>
      </c>
      <c r="J10" s="7"/>
      <c r="K10" s="4">
        <f>6/30</f>
        <v>0.2</v>
      </c>
      <c r="L10" s="7"/>
      <c r="M10" s="4">
        <f>9/28</f>
        <v>0.32142857142857145</v>
      </c>
    </row>
    <row r="11" spans="1:33" ht="18.75" thickTop="1" thickBot="1" x14ac:dyDescent="0.35">
      <c r="A11" s="2">
        <v>2022</v>
      </c>
      <c r="B11" s="7"/>
      <c r="C11" s="4">
        <f>7/31</f>
        <v>0.22580645161290322</v>
      </c>
      <c r="D11" s="7"/>
      <c r="E11" s="4">
        <f>9/28</f>
        <v>0.32142857142857145</v>
      </c>
      <c r="F11" s="7"/>
      <c r="G11" s="4">
        <f>6/29</f>
        <v>0.20689655172413793</v>
      </c>
      <c r="H11" s="7"/>
      <c r="I11" s="4">
        <f>14/31</f>
        <v>0.45161290322580644</v>
      </c>
      <c r="J11" s="7"/>
      <c r="K11" s="4">
        <f>5/30</f>
        <v>0.16666666666666666</v>
      </c>
      <c r="L11" s="7"/>
      <c r="M11" s="4">
        <f>10/30</f>
        <v>0.33333333333333331</v>
      </c>
    </row>
    <row r="12" spans="1:33" ht="18.75" thickTop="1" thickBot="1" x14ac:dyDescent="0.35">
      <c r="A12" s="2">
        <v>2023</v>
      </c>
      <c r="B12" s="7"/>
      <c r="C12" s="4">
        <f>9/31</f>
        <v>0.29032258064516131</v>
      </c>
      <c r="D12" s="7"/>
      <c r="E12" s="4">
        <f>11/31</f>
        <v>0.35483870967741937</v>
      </c>
      <c r="F12" s="7"/>
      <c r="G12" s="4">
        <f>8/30</f>
        <v>0.26666666666666666</v>
      </c>
      <c r="H12" s="7"/>
      <c r="I12" s="4">
        <f>4/31</f>
        <v>0.12903225806451613</v>
      </c>
      <c r="J12" s="7"/>
      <c r="K12" s="4">
        <f>10/30</f>
        <v>0.33333333333333331</v>
      </c>
      <c r="L12" s="7"/>
      <c r="M12" s="4">
        <f>10/31</f>
        <v>0.32258064516129031</v>
      </c>
    </row>
    <row r="13" spans="1:33" ht="18.75" thickTop="1" thickBot="1" x14ac:dyDescent="0.35">
      <c r="A13" s="2">
        <v>2024</v>
      </c>
      <c r="B13" s="7"/>
      <c r="C13" s="4">
        <f>10/31</f>
        <v>0.32258064516129031</v>
      </c>
      <c r="D13" s="7"/>
      <c r="E13" s="4">
        <f>8/31</f>
        <v>0.25806451612903225</v>
      </c>
      <c r="F13" s="7"/>
      <c r="G13" s="4">
        <f>17/30</f>
        <v>0.56666666666666665</v>
      </c>
      <c r="H13" s="7"/>
      <c r="I13" s="4">
        <f>11/31</f>
        <v>0.35483870967741937</v>
      </c>
      <c r="J13" s="7"/>
      <c r="K13" s="4">
        <f>15/30</f>
        <v>0.5</v>
      </c>
      <c r="L13" s="7"/>
      <c r="M13" s="4">
        <f>12/31</f>
        <v>0.38709677419354838</v>
      </c>
    </row>
    <row r="14" spans="1:33" ht="18.75" thickTop="1" thickBot="1" x14ac:dyDescent="0.35">
      <c r="A14" s="2">
        <v>2025</v>
      </c>
      <c r="B14" s="7"/>
      <c r="C14" s="4">
        <f>15/31</f>
        <v>0.4838709677419355</v>
      </c>
      <c r="D14" s="7"/>
      <c r="E14" s="4">
        <f>12/31</f>
        <v>0.38709677419354838</v>
      </c>
      <c r="F14" s="7"/>
      <c r="G14" s="4">
        <f>14/30</f>
        <v>0.46666666666666667</v>
      </c>
      <c r="H14" s="7"/>
      <c r="I14" s="4">
        <f>11/31</f>
        <v>0.35483870967741937</v>
      </c>
      <c r="J14" s="7"/>
      <c r="K14" s="4">
        <f>17/30</f>
        <v>0.56666666666666665</v>
      </c>
      <c r="L14" s="7"/>
      <c r="M14" s="4">
        <f>13/31</f>
        <v>0.41935483870967744</v>
      </c>
    </row>
    <row r="15" spans="1:33" ht="18.75" thickTop="1" thickBot="1" x14ac:dyDescent="0.35">
      <c r="A15" s="16" t="s">
        <v>25</v>
      </c>
      <c r="B15">
        <f t="shared" ref="B15:M15" si="0">AVERAGE(B5:B14)</f>
        <v>350.74</v>
      </c>
      <c r="C15" s="17">
        <f t="shared" si="0"/>
        <v>0.33870967741935487</v>
      </c>
      <c r="D15">
        <f t="shared" si="0"/>
        <v>335.22999999999996</v>
      </c>
      <c r="E15" s="17">
        <f t="shared" si="0"/>
        <v>0.3451655572623315</v>
      </c>
      <c r="F15">
        <f t="shared" si="0"/>
        <v>306.67</v>
      </c>
      <c r="G15" s="17">
        <f t="shared" si="0"/>
        <v>0.3040229885057471</v>
      </c>
      <c r="H15">
        <f t="shared" si="0"/>
        <v>370.53999999999996</v>
      </c>
      <c r="I15" s="17">
        <f t="shared" si="0"/>
        <v>0.33870967741935487</v>
      </c>
      <c r="J15">
        <f t="shared" si="0"/>
        <v>397.88600000000008</v>
      </c>
      <c r="K15" s="17">
        <f t="shared" si="0"/>
        <v>0.38</v>
      </c>
      <c r="L15">
        <f t="shared" si="0"/>
        <v>458.50400000000002</v>
      </c>
      <c r="M15" s="17">
        <f t="shared" si="0"/>
        <v>0.37515360983102924</v>
      </c>
    </row>
    <row r="16" spans="1:33" ht="20.25" thickTop="1" x14ac:dyDescent="0.3">
      <c r="B16" s="24" t="s">
        <v>9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</row>
    <row r="17" spans="1:33" x14ac:dyDescent="0.25">
      <c r="B17" s="21" t="s">
        <v>6</v>
      </c>
      <c r="C17" s="23"/>
      <c r="D17" s="23"/>
      <c r="E17" s="23"/>
      <c r="F17" s="23"/>
      <c r="G17" s="22"/>
      <c r="H17" s="21" t="s">
        <v>5</v>
      </c>
      <c r="I17" s="23"/>
      <c r="J17" s="23"/>
      <c r="K17" s="22"/>
      <c r="L17" s="21" t="s">
        <v>1</v>
      </c>
      <c r="M17" s="23"/>
      <c r="N17" s="23"/>
      <c r="O17" s="23"/>
      <c r="P17" s="23"/>
      <c r="Q17" s="22"/>
      <c r="R17" s="21" t="s">
        <v>2</v>
      </c>
      <c r="S17" s="23"/>
      <c r="T17" s="23"/>
      <c r="U17" s="23"/>
      <c r="V17" s="23"/>
      <c r="W17" s="22"/>
      <c r="X17" s="21" t="s">
        <v>3</v>
      </c>
      <c r="Y17" s="23"/>
      <c r="Z17" s="23"/>
      <c r="AA17" s="23"/>
      <c r="AB17" s="23"/>
      <c r="AC17" s="23"/>
      <c r="AD17" s="23"/>
      <c r="AE17" s="22"/>
      <c r="AF17" s="21" t="s">
        <v>4</v>
      </c>
      <c r="AG17" s="23"/>
    </row>
    <row r="18" spans="1:33" x14ac:dyDescent="0.25">
      <c r="B18" s="12" t="s">
        <v>10</v>
      </c>
      <c r="C18" s="13" t="s">
        <v>11</v>
      </c>
      <c r="D18" s="12" t="s">
        <v>10</v>
      </c>
      <c r="E18" s="13" t="s">
        <v>11</v>
      </c>
      <c r="F18" s="12" t="s">
        <v>10</v>
      </c>
      <c r="G18" s="13" t="s">
        <v>11</v>
      </c>
      <c r="H18" s="12" t="s">
        <v>10</v>
      </c>
      <c r="I18" s="13" t="s">
        <v>11</v>
      </c>
      <c r="J18" s="12" t="s">
        <v>10</v>
      </c>
      <c r="K18" s="13" t="s">
        <v>11</v>
      </c>
      <c r="L18" s="12" t="s">
        <v>10</v>
      </c>
      <c r="M18" s="13" t="s">
        <v>11</v>
      </c>
      <c r="N18" s="13" t="s">
        <v>10</v>
      </c>
      <c r="O18" s="13" t="s">
        <v>11</v>
      </c>
      <c r="P18" s="13" t="s">
        <v>10</v>
      </c>
      <c r="Q18" s="13" t="s">
        <v>11</v>
      </c>
      <c r="R18" s="12" t="s">
        <v>10</v>
      </c>
      <c r="S18" s="13" t="s">
        <v>11</v>
      </c>
      <c r="T18" s="12" t="s">
        <v>10</v>
      </c>
      <c r="U18" s="13" t="s">
        <v>11</v>
      </c>
      <c r="V18" s="12" t="s">
        <v>10</v>
      </c>
      <c r="W18" s="13" t="s">
        <v>11</v>
      </c>
      <c r="X18" s="12" t="s">
        <v>10</v>
      </c>
      <c r="Y18" s="13" t="s">
        <v>11</v>
      </c>
      <c r="Z18" s="12" t="s">
        <v>10</v>
      </c>
      <c r="AA18" s="13" t="s">
        <v>11</v>
      </c>
      <c r="AB18" s="12" t="s">
        <v>10</v>
      </c>
      <c r="AC18" s="13" t="s">
        <v>11</v>
      </c>
      <c r="AD18" s="12" t="s">
        <v>10</v>
      </c>
      <c r="AE18" s="13" t="s">
        <v>11</v>
      </c>
      <c r="AF18" s="12" t="s">
        <v>10</v>
      </c>
      <c r="AG18" s="13" t="s">
        <v>11</v>
      </c>
    </row>
    <row r="19" spans="1:33" ht="31.5" thickBot="1" x14ac:dyDescent="0.35">
      <c r="A19" s="2">
        <v>2016</v>
      </c>
      <c r="B19" s="3" t="s">
        <v>12</v>
      </c>
      <c r="C19" s="5">
        <v>1</v>
      </c>
      <c r="D19" s="7"/>
      <c r="E19" s="7"/>
      <c r="F19" s="7"/>
      <c r="G19" s="7"/>
      <c r="H19" s="7"/>
      <c r="I19" s="8"/>
      <c r="J19" s="7"/>
      <c r="K19" s="7"/>
      <c r="L19" s="14"/>
      <c r="M19" s="8"/>
      <c r="N19" s="7"/>
      <c r="O19" s="7"/>
      <c r="P19" s="7"/>
      <c r="Q19" s="7"/>
      <c r="R19" s="6" t="s">
        <v>13</v>
      </c>
      <c r="S19" s="5">
        <v>1</v>
      </c>
      <c r="T19" s="6" t="s">
        <v>14</v>
      </c>
      <c r="U19" s="5">
        <v>5</v>
      </c>
      <c r="V19" s="7"/>
      <c r="W19" s="7"/>
      <c r="X19" s="7"/>
      <c r="Y19" s="7"/>
      <c r="Z19" s="7"/>
      <c r="AA19" s="7"/>
      <c r="AB19" s="7"/>
      <c r="AC19" s="7"/>
      <c r="AD19" s="7"/>
      <c r="AE19" s="7"/>
      <c r="AF19" s="3" t="s">
        <v>15</v>
      </c>
      <c r="AG19" s="5">
        <v>1</v>
      </c>
    </row>
    <row r="20" spans="1:33" ht="32.25" thickTop="1" thickBot="1" x14ac:dyDescent="0.35">
      <c r="A20" s="2">
        <v>2017</v>
      </c>
      <c r="B20" s="7"/>
      <c r="C20" s="7"/>
      <c r="D20" s="7"/>
      <c r="E20" s="7"/>
      <c r="F20" s="7"/>
      <c r="G20" s="7"/>
      <c r="H20" s="3" t="s">
        <v>16</v>
      </c>
      <c r="I20" s="5">
        <v>2</v>
      </c>
      <c r="J20" s="7"/>
      <c r="K20" s="7"/>
      <c r="L20" s="14"/>
      <c r="M20" s="7"/>
      <c r="N20" s="7"/>
      <c r="O20" s="7"/>
      <c r="P20" s="7"/>
      <c r="Q20" s="7"/>
      <c r="R20" s="3" t="s">
        <v>17</v>
      </c>
      <c r="S20" s="5">
        <v>1</v>
      </c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ht="32.25" thickTop="1" thickBot="1" x14ac:dyDescent="0.35">
      <c r="A21" s="2">
        <v>2018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15" t="s">
        <v>18</v>
      </c>
      <c r="M21" s="5">
        <v>3</v>
      </c>
      <c r="N21" s="7"/>
      <c r="O21" s="7"/>
      <c r="P21" s="7"/>
      <c r="Q21" s="7"/>
      <c r="R21" s="6" t="s">
        <v>19</v>
      </c>
      <c r="S21" s="5">
        <v>3</v>
      </c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33" ht="32.25" thickTop="1" thickBot="1" x14ac:dyDescent="0.35">
      <c r="A22" s="2">
        <v>2019</v>
      </c>
      <c r="B22" s="3" t="s">
        <v>20</v>
      </c>
      <c r="C22" s="5">
        <v>1</v>
      </c>
      <c r="D22" s="7"/>
      <c r="E22" s="7"/>
      <c r="F22" s="7"/>
      <c r="G22" s="7"/>
      <c r="H22" s="3" t="s">
        <v>21</v>
      </c>
      <c r="I22" s="5">
        <v>1</v>
      </c>
      <c r="J22" s="3" t="s">
        <v>22</v>
      </c>
      <c r="K22" s="5">
        <v>2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3" t="s">
        <v>23</v>
      </c>
      <c r="Y22" s="5">
        <v>1</v>
      </c>
      <c r="Z22" s="7"/>
      <c r="AA22" s="7"/>
      <c r="AB22" s="7"/>
      <c r="AC22" s="7"/>
      <c r="AD22" s="7"/>
      <c r="AE22" s="7"/>
      <c r="AF22" s="3" t="s">
        <v>24</v>
      </c>
      <c r="AG22" s="5">
        <v>1</v>
      </c>
    </row>
    <row r="23" spans="1:33" ht="32.25" customHeight="1" thickTop="1" thickBot="1" x14ac:dyDescent="0.35">
      <c r="A23" s="2">
        <v>2020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6" t="s">
        <v>27</v>
      </c>
      <c r="S23" s="5">
        <v>2</v>
      </c>
      <c r="T23" s="3" t="s">
        <v>28</v>
      </c>
      <c r="U23" s="5">
        <v>1</v>
      </c>
      <c r="V23" s="3" t="s">
        <v>29</v>
      </c>
      <c r="W23" s="5">
        <v>1</v>
      </c>
      <c r="X23" s="3" t="s">
        <v>29</v>
      </c>
      <c r="Y23" s="5">
        <v>1</v>
      </c>
      <c r="Z23" s="3" t="s">
        <v>30</v>
      </c>
      <c r="AA23" s="5">
        <v>2</v>
      </c>
      <c r="AB23" s="7"/>
      <c r="AC23" s="7"/>
      <c r="AD23" s="7"/>
      <c r="AE23" s="7"/>
      <c r="AF23" s="7"/>
      <c r="AG23" s="7"/>
    </row>
    <row r="24" spans="1:33" ht="32.25" thickTop="1" thickBot="1" x14ac:dyDescent="0.35">
      <c r="A24" s="2">
        <v>2021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3" t="s">
        <v>31</v>
      </c>
      <c r="M24" s="5">
        <v>1</v>
      </c>
      <c r="N24" s="3" t="s">
        <v>32</v>
      </c>
      <c r="O24" s="5">
        <v>2</v>
      </c>
      <c r="P24" s="7"/>
      <c r="Q24" s="7"/>
      <c r="R24" s="6" t="s">
        <v>33</v>
      </c>
      <c r="S24" s="5">
        <v>1</v>
      </c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ht="32.25" customHeight="1" thickTop="1" thickBot="1" x14ac:dyDescent="0.35">
      <c r="A25" s="2">
        <v>2022</v>
      </c>
      <c r="B25" s="7"/>
      <c r="C25" s="7"/>
      <c r="D25" s="7"/>
      <c r="E25" s="7"/>
      <c r="F25" s="7"/>
      <c r="G25" s="7"/>
      <c r="H25" s="3" t="s">
        <v>39</v>
      </c>
      <c r="I25" s="5">
        <v>2</v>
      </c>
      <c r="J25" s="7"/>
      <c r="K25" s="7"/>
      <c r="L25" s="3" t="s">
        <v>40</v>
      </c>
      <c r="M25" s="5">
        <v>1</v>
      </c>
      <c r="N25" s="7"/>
      <c r="O25" s="7"/>
      <c r="P25" s="7"/>
      <c r="Q25" s="7"/>
      <c r="R25" s="6" t="s">
        <v>41</v>
      </c>
      <c r="S25" s="5">
        <v>1</v>
      </c>
      <c r="T25" s="3" t="s">
        <v>42</v>
      </c>
      <c r="U25" s="19">
        <v>1</v>
      </c>
      <c r="V25" s="3" t="s">
        <v>43</v>
      </c>
      <c r="W25" s="19">
        <v>1</v>
      </c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3" ht="32.25" thickTop="1" thickBot="1" x14ac:dyDescent="0.35">
      <c r="A26" s="2">
        <v>2023</v>
      </c>
      <c r="B26" s="3" t="s">
        <v>44</v>
      </c>
      <c r="C26" s="5">
        <v>2</v>
      </c>
      <c r="D26" s="7"/>
      <c r="E26" s="7"/>
      <c r="F26" s="7"/>
      <c r="G26" s="7"/>
      <c r="H26" s="3" t="s">
        <v>45</v>
      </c>
      <c r="I26" s="5">
        <v>2</v>
      </c>
      <c r="J26" s="7"/>
      <c r="K26" s="7"/>
      <c r="L26" s="3" t="s">
        <v>46</v>
      </c>
      <c r="M26" s="5">
        <v>1</v>
      </c>
      <c r="N26" s="7"/>
      <c r="O26" s="7"/>
      <c r="P26" s="7"/>
      <c r="Q26" s="7"/>
      <c r="R26" s="3" t="s">
        <v>46</v>
      </c>
      <c r="S26" s="5">
        <v>2</v>
      </c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spans="1:33" ht="32.25" customHeight="1" thickTop="1" thickBot="1" x14ac:dyDescent="0.35">
      <c r="A27" s="2">
        <v>2024</v>
      </c>
      <c r="B27" s="3" t="s">
        <v>47</v>
      </c>
      <c r="C27" s="5">
        <v>1</v>
      </c>
      <c r="D27" s="7"/>
      <c r="E27" s="7"/>
      <c r="F27" s="7"/>
      <c r="G27" s="7"/>
      <c r="H27" s="7"/>
      <c r="I27" s="7"/>
      <c r="J27" s="7"/>
      <c r="K27" s="7"/>
      <c r="L27" s="3" t="s">
        <v>48</v>
      </c>
      <c r="M27" s="5">
        <v>1</v>
      </c>
      <c r="N27" s="3" t="s">
        <v>49</v>
      </c>
      <c r="O27" s="5">
        <v>1</v>
      </c>
      <c r="P27" s="3" t="s">
        <v>50</v>
      </c>
      <c r="Q27" s="5">
        <v>1</v>
      </c>
      <c r="R27" s="3" t="s">
        <v>50</v>
      </c>
      <c r="S27" s="5">
        <v>1</v>
      </c>
      <c r="T27" s="3" t="s">
        <v>51</v>
      </c>
      <c r="U27" s="5">
        <v>3</v>
      </c>
      <c r="V27" s="3" t="s">
        <v>52</v>
      </c>
      <c r="W27" s="19">
        <v>1</v>
      </c>
      <c r="X27" s="3" t="s">
        <v>53</v>
      </c>
      <c r="Y27" s="5">
        <v>2</v>
      </c>
      <c r="Z27" s="3" t="s">
        <v>55</v>
      </c>
      <c r="AA27" s="5">
        <v>4</v>
      </c>
      <c r="AB27" s="3" t="s">
        <v>56</v>
      </c>
      <c r="AC27" s="5">
        <v>2</v>
      </c>
      <c r="AD27" s="3" t="s">
        <v>54</v>
      </c>
      <c r="AE27" s="5">
        <v>3</v>
      </c>
      <c r="AF27" s="7"/>
      <c r="AG27" s="7"/>
    </row>
    <row r="28" spans="1:33" ht="32.25" customHeight="1" thickTop="1" thickBot="1" x14ac:dyDescent="0.35">
      <c r="A28" s="2">
        <v>2025</v>
      </c>
      <c r="B28" s="3" t="s">
        <v>58</v>
      </c>
      <c r="C28" s="5">
        <v>1</v>
      </c>
      <c r="D28" s="3" t="s">
        <v>59</v>
      </c>
      <c r="E28" s="5">
        <v>1</v>
      </c>
      <c r="F28" s="3" t="s">
        <v>60</v>
      </c>
      <c r="G28" s="5">
        <v>1</v>
      </c>
      <c r="H28" s="3" t="s">
        <v>61</v>
      </c>
      <c r="I28" s="5">
        <v>1</v>
      </c>
      <c r="J28" s="7"/>
      <c r="K28" s="7"/>
      <c r="L28" s="3" t="s">
        <v>62</v>
      </c>
      <c r="M28" s="5">
        <v>1</v>
      </c>
      <c r="N28" s="3" t="s">
        <v>63</v>
      </c>
      <c r="O28" s="5">
        <v>1</v>
      </c>
      <c r="P28" s="3" t="s">
        <v>64</v>
      </c>
      <c r="Q28" s="5">
        <v>1</v>
      </c>
      <c r="R28" s="3" t="s">
        <v>65</v>
      </c>
      <c r="S28" s="5">
        <v>3</v>
      </c>
      <c r="T28" s="28" t="s">
        <v>66</v>
      </c>
      <c r="U28" s="5">
        <v>2</v>
      </c>
      <c r="V28" s="7"/>
      <c r="W28" s="7"/>
      <c r="X28" s="3" t="s">
        <v>67</v>
      </c>
      <c r="Y28" s="19">
        <v>1</v>
      </c>
      <c r="Z28" s="15" t="s">
        <v>68</v>
      </c>
      <c r="AA28" s="5">
        <v>3</v>
      </c>
      <c r="AB28" s="7"/>
      <c r="AC28" s="7"/>
      <c r="AD28" s="7"/>
      <c r="AE28" s="7"/>
      <c r="AF28" s="7"/>
      <c r="AG28" s="7"/>
    </row>
    <row r="29" spans="1:33" ht="22.5" thickTop="1" thickBot="1" x14ac:dyDescent="0.35">
      <c r="A29" s="16" t="s">
        <v>26</v>
      </c>
      <c r="B29" s="5">
        <v>7</v>
      </c>
      <c r="C29" s="7"/>
      <c r="D29" s="7"/>
      <c r="E29" s="7"/>
      <c r="F29" s="7"/>
      <c r="G29" s="7"/>
      <c r="H29" s="5">
        <v>6</v>
      </c>
      <c r="I29" s="7"/>
      <c r="J29" s="7"/>
      <c r="K29" s="7"/>
      <c r="L29" s="5">
        <v>11</v>
      </c>
      <c r="M29" s="7"/>
      <c r="N29" s="7"/>
      <c r="O29" s="7"/>
      <c r="P29" s="7"/>
      <c r="Q29" s="7"/>
      <c r="R29" s="5">
        <v>17</v>
      </c>
      <c r="S29" s="7"/>
      <c r="T29" s="7"/>
      <c r="U29" s="7"/>
      <c r="V29" s="7"/>
      <c r="W29" s="7"/>
      <c r="X29" s="5">
        <v>9</v>
      </c>
      <c r="Y29" s="7"/>
      <c r="Z29" s="7"/>
      <c r="AA29" s="7"/>
      <c r="AB29" s="7"/>
      <c r="AC29" s="7"/>
      <c r="AD29" s="7"/>
      <c r="AE29" s="7"/>
      <c r="AF29" s="5">
        <v>2</v>
      </c>
      <c r="AG29" s="7"/>
    </row>
    <row r="30" spans="1:33" ht="15.75" thickTop="1" x14ac:dyDescent="0.25"/>
    <row r="33" spans="1:8" ht="18" thickBot="1" x14ac:dyDescent="0.35">
      <c r="A33" s="16" t="s">
        <v>34</v>
      </c>
    </row>
    <row r="34" spans="1:8" ht="15.75" thickTop="1" x14ac:dyDescent="0.25">
      <c r="A34" s="25" t="s">
        <v>57</v>
      </c>
      <c r="B34" s="26"/>
      <c r="C34" s="26"/>
      <c r="D34" s="26"/>
      <c r="E34" s="26"/>
      <c r="F34" s="26"/>
      <c r="G34" s="26"/>
      <c r="H34" s="26"/>
    </row>
    <row r="35" spans="1:8" x14ac:dyDescent="0.25">
      <c r="A35" s="18">
        <v>44409</v>
      </c>
      <c r="B35" s="18">
        <v>44531</v>
      </c>
      <c r="C35" s="18">
        <v>44774</v>
      </c>
      <c r="D35" s="18">
        <v>44805</v>
      </c>
      <c r="E35" s="18">
        <v>44866</v>
      </c>
      <c r="F35" s="18">
        <v>44896</v>
      </c>
    </row>
    <row r="38" spans="1:8" ht="17.25" x14ac:dyDescent="0.3">
      <c r="A38" s="27" t="s">
        <v>35</v>
      </c>
      <c r="B38" s="27"/>
    </row>
    <row r="39" spans="1:8" x14ac:dyDescent="0.25">
      <c r="A39" s="25" t="s">
        <v>36</v>
      </c>
      <c r="B39" s="26"/>
      <c r="C39" s="26"/>
      <c r="D39" s="26"/>
      <c r="E39" s="26"/>
      <c r="F39" s="26"/>
      <c r="G39" s="26"/>
    </row>
    <row r="40" spans="1:8" x14ac:dyDescent="0.25">
      <c r="A40" s="25" t="s">
        <v>37</v>
      </c>
      <c r="B40" s="26"/>
      <c r="C40" s="26"/>
      <c r="D40" s="26"/>
      <c r="E40" s="26"/>
      <c r="F40" s="26"/>
      <c r="G40" s="26"/>
    </row>
    <row r="41" spans="1:8" x14ac:dyDescent="0.25">
      <c r="A41" s="25" t="s">
        <v>38</v>
      </c>
      <c r="B41" s="26"/>
      <c r="C41" s="26"/>
      <c r="D41" s="26"/>
      <c r="E41" s="26"/>
      <c r="F41" s="26"/>
      <c r="G41" s="26"/>
    </row>
  </sheetData>
  <mergeCells count="19">
    <mergeCell ref="B16:AG16"/>
    <mergeCell ref="X17:AE17"/>
    <mergeCell ref="R17:W17"/>
    <mergeCell ref="L17:Q17"/>
    <mergeCell ref="H17:K17"/>
    <mergeCell ref="B17:G17"/>
    <mergeCell ref="A39:G39"/>
    <mergeCell ref="A40:G40"/>
    <mergeCell ref="A41:G41"/>
    <mergeCell ref="A38:B38"/>
    <mergeCell ref="A34:H34"/>
    <mergeCell ref="B2:M2"/>
    <mergeCell ref="B3:C3"/>
    <mergeCell ref="D3:E3"/>
    <mergeCell ref="F3:G3"/>
    <mergeCell ref="H3:I3"/>
    <mergeCell ref="J3:K3"/>
    <mergeCell ref="L3:M3"/>
    <mergeCell ref="AF17:AG17"/>
  </mergeCells>
  <pageMargins left="0.7" right="0.7" top="0.75" bottom="0.75" header="0.3" footer="0.3"/>
  <pageSetup orientation="portrait" r:id="rId1"/>
  <ignoredErrors>
    <ignoredError sqref="I6 C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</dc:creator>
  <cp:lastModifiedBy>karl</cp:lastModifiedBy>
  <dcterms:created xsi:type="dcterms:W3CDTF">2026-06-17T19:40:36Z</dcterms:created>
  <dcterms:modified xsi:type="dcterms:W3CDTF">2026-06-28T22:44:41Z</dcterms:modified>
</cp:coreProperties>
</file>